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Investissement" sheetId="3" state="visible" r:id="rId3"/>
    <sheet xmlns:r="http://schemas.openxmlformats.org/officeDocument/2006/relationships" name="Charges an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16" customWidth="1" min="2" max="2"/>
  </cols>
  <sheetData>
    <row r="1">
      <c r="A1" s="1" t="inlineStr">
        <is>
          <t>Synthèse budget partie 1 (HT, indicatif)</t>
        </is>
      </c>
      <c r="B1" s="1" t="inlineStr">
        <is>
          <t>Montant</t>
        </is>
      </c>
    </row>
    <row r="2">
      <c r="A2" t="inlineStr">
        <is>
          <t>Investissement (CAPEX)</t>
        </is>
      </c>
      <c r="B2" s="2">
        <f>Investissement!$E$21</f>
        <v/>
      </c>
    </row>
    <row r="3">
      <c r="A3" t="inlineStr">
        <is>
          <t>Charges d'exploitation 1re année (OPEX)</t>
        </is>
      </c>
      <c r="B3" s="2">
        <f>'Charges an 1'!$E$11</f>
        <v/>
      </c>
    </row>
    <row r="4">
      <c r="A4" t="inlineStr">
        <is>
          <t>Coûts internes (RSI + alternant)</t>
        </is>
      </c>
      <c r="B4" s="2">
        <f>Hypothèses!$B$17*Hypothèses!$B$18+Hypothèses!$B$19*Hypothèses!$B$20</f>
        <v/>
      </c>
    </row>
    <row r="5">
      <c r="A5" s="3" t="inlineStr">
        <is>
          <t>Sous-total</t>
        </is>
      </c>
      <c r="B5" s="4">
        <f>SUM(B2:B4)</f>
        <v/>
      </c>
    </row>
    <row r="6">
      <c r="A6" t="inlineStr">
        <is>
          <t>Réserve de contingence</t>
        </is>
      </c>
      <c r="B6" s="2">
        <f>(B2+B3)*Hypothèses!$B$21</f>
        <v/>
      </c>
    </row>
    <row r="7">
      <c r="A7" t="inlineStr">
        <is>
          <t>Réserve de management</t>
        </is>
      </c>
      <c r="B7" s="2">
        <f>(B2+B3)*Hypothèses!$B$22</f>
        <v/>
      </c>
    </row>
    <row r="8">
      <c r="A8" s="3" t="inlineStr">
        <is>
          <t>TOTAL PROJET</t>
        </is>
      </c>
      <c r="B8" s="4">
        <f>B5+B6+B7</f>
        <v/>
      </c>
    </row>
    <row r="9">
      <c r="A9" t="inlineStr">
        <is>
          <t>Enveloppe Contexte SAP</t>
        </is>
      </c>
      <c r="B9" s="2">
        <f>Hypothèses!$B$23</f>
        <v/>
      </c>
    </row>
    <row r="10">
      <c r="A10" t="inlineStr">
        <is>
          <t>Écart (positif = dépassement)</t>
        </is>
      </c>
      <c r="B10" s="2">
        <f>B8-B9</f>
        <v/>
      </c>
    </row>
    <row r="12">
      <c r="A12" s="5" t="inlineStr">
        <is>
          <t>Leviers pour revenir dans l'enveloppe</t>
        </is>
      </c>
      <c r="B12" t="inlineStr"/>
    </row>
    <row r="13">
      <c r="A13" t="inlineStr">
        <is>
          <t>• Passer 'Part de postes reconditionnés' à 40 % (Hypothèses) : économie ≈ 50 k€ + argument RSE</t>
        </is>
      </c>
      <c r="B13" t="inlineStr"/>
    </row>
    <row r="14">
      <c r="A14" t="inlineStr">
        <is>
          <t>• Basculer l'ERP SaaS dans le budget métier (il relève de la direction, pas de l'infra)</t>
        </is>
      </c>
      <c r="B14" t="inlineStr"/>
    </row>
    <row r="15">
      <c r="A15" t="inlineStr">
        <is>
          <t>• Location évolutive (DaaS) des portables : transforme ≈ 370 k€ de CAPEX en ≈ 32 €/poste/mois</t>
        </is>
      </c>
      <c r="B15" t="inlineStr"/>
    </row>
    <row r="16">
      <c r="A16" t="inlineStr">
        <is>
          <t>• Ajuster le nombre de bornes Wi-Fi après l'audit radio</t>
        </is>
      </c>
      <c r="B16" t="inlineStr"/>
    </row>
    <row r="17">
      <c r="A17" t="inlineStr">
        <is>
          <t>• Étaler les smartphones sur l'an 2 (seulement les 92 HS en an 1)</t>
        </is>
      </c>
      <c r="B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40" customWidth="1" min="3" max="3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Commentaire</t>
        </is>
      </c>
    </row>
    <row r="2">
      <c r="A2" t="inlineStr">
        <is>
          <t>Salariés actuels (inventaire 2015)</t>
        </is>
      </c>
      <c r="B2" s="6" t="n">
        <v>450</v>
      </c>
      <c r="C2" t="inlineStr"/>
    </row>
    <row r="3">
      <c r="A3" t="inlineStr">
        <is>
          <t>Croissance annuelle effectifs</t>
        </is>
      </c>
      <c r="B3" s="7" t="n">
        <v>0.05</v>
      </c>
      <c r="C3" t="inlineStr">
        <is>
          <t>Contexte SAP p.11</t>
        </is>
      </c>
    </row>
    <row r="4">
      <c r="A4" t="inlineStr">
        <is>
          <t>Stock de spare postes</t>
        </is>
      </c>
      <c r="B4" s="7" t="n">
        <v>0.03</v>
      </c>
      <c r="C4" t="inlineStr">
        <is>
          <t>pannes / arrivées</t>
        </is>
      </c>
    </row>
    <row r="5">
      <c r="A5" t="inlineStr">
        <is>
          <t>Prix portable neuf (i5, 16 Go, 512 Go, garantie 3 ans J+1)</t>
        </is>
      </c>
      <c r="B5" s="8" t="n">
        <v>750</v>
      </c>
      <c r="C5" t="inlineStr">
        <is>
          <t>prix indicatif HT</t>
        </is>
      </c>
    </row>
    <row r="6">
      <c r="A6" t="inlineStr">
        <is>
          <t>Prix portable reconditionné grade A (garantie 2-3 ans)</t>
        </is>
      </c>
      <c r="B6" s="8" t="n">
        <v>480</v>
      </c>
      <c r="C6" t="inlineStr">
        <is>
          <t>levier GreenIT / budget</t>
        </is>
      </c>
    </row>
    <row r="7">
      <c r="A7" t="inlineStr">
        <is>
          <t>Part de postes reconditionnés (0 à 1)</t>
        </is>
      </c>
      <c r="B7" s="6" t="n">
        <v>0</v>
      </c>
      <c r="C7" t="inlineStr">
        <is>
          <t>mettre 0,4 pour le scénario économe</t>
        </is>
      </c>
    </row>
    <row r="8">
      <c r="A8" t="inlineStr">
        <is>
          <t>Part du parc renouvelée en année 1 (0 à 1)</t>
        </is>
      </c>
      <c r="B8" s="6" t="n">
        <v>1</v>
      </c>
      <c r="C8" t="inlineStr">
        <is>
          <t>0,65 = les 300 postes HS + croissance, le reste en an 2</t>
        </is>
      </c>
    </row>
    <row r="9">
      <c r="A9" t="inlineStr">
        <is>
          <t>Inclure l'ERP SaaS dans ce budget (1 = oui, 0 = non)</t>
        </is>
      </c>
      <c r="B9" s="6" t="n">
        <v>1</v>
      </c>
      <c r="C9" t="inlineStr">
        <is>
          <t>0 si porté par le budget métier</t>
        </is>
      </c>
    </row>
    <row r="10">
      <c r="A10" t="inlineStr">
        <is>
          <t>Postes fixes administratifs (dock + écran 24")</t>
        </is>
      </c>
      <c r="B10" s="6" t="n">
        <v>150</v>
      </c>
      <c r="C10" t="inlineStr">
        <is>
          <t>admin, direction, chefs de service</t>
        </is>
      </c>
    </row>
    <row r="11">
      <c r="A11" t="inlineStr">
        <is>
          <t>Licences M365 E3 (bureautique complète)</t>
        </is>
      </c>
      <c r="B11" s="6" t="n">
        <v>150</v>
      </c>
      <c r="C11" t="inlineStr">
        <is>
          <t>admin, direction, CSE, psy</t>
        </is>
      </c>
    </row>
    <row r="12">
      <c r="A12" t="inlineStr">
        <is>
          <t>Licences M365 F3 (terrain, Office web/mobile)</t>
        </is>
      </c>
      <c r="B12" s="6" t="n">
        <v>300</v>
      </c>
      <c r="C12" t="inlineStr">
        <is>
          <t>éducateurs, mandataires</t>
        </is>
      </c>
    </row>
    <row r="13">
      <c r="A13" t="inlineStr">
        <is>
          <t>Prix M365 E3 / utilisateur / mois</t>
        </is>
      </c>
      <c r="B13" s="6" t="n">
        <v>36</v>
      </c>
      <c r="C13" t="inlineStr">
        <is>
          <t>indicatif HT</t>
        </is>
      </c>
    </row>
    <row r="14">
      <c r="A14" t="inlineStr">
        <is>
          <t>Prix M365 F3 / utilisateur / mois</t>
        </is>
      </c>
      <c r="B14" s="6" t="n">
        <v>8</v>
      </c>
      <c r="C14" t="inlineStr">
        <is>
          <t>indicatif HT</t>
        </is>
      </c>
    </row>
    <row r="15">
      <c r="A15" t="inlineStr">
        <is>
          <t>Smartphones à remplacer</t>
        </is>
      </c>
      <c r="B15" s="6" t="n">
        <v>140</v>
      </c>
      <c r="C15" t="inlineStr">
        <is>
          <t>135 Galaxy A5 + croissance</t>
        </is>
      </c>
    </row>
    <row r="16">
      <c r="A16" t="inlineStr">
        <is>
          <t>Prix smartphone (Android Enterprise)</t>
        </is>
      </c>
      <c r="B16" s="8" t="n">
        <v>300</v>
      </c>
      <c r="C16" t="inlineStr"/>
    </row>
    <row r="17">
      <c r="A17" t="inlineStr">
        <is>
          <t>Coût jour RSI chargé</t>
        </is>
      </c>
      <c r="B17" s="8" t="n">
        <v>450</v>
      </c>
      <c r="C17" t="inlineStr">
        <is>
          <t>coût interne</t>
        </is>
      </c>
    </row>
    <row r="18">
      <c r="A18" t="inlineStr">
        <is>
          <t>Jours RSI sur le projet (8 mois)</t>
        </is>
      </c>
      <c r="B18" s="6" t="n">
        <v>80</v>
      </c>
      <c r="C18" t="inlineStr">
        <is>
          <t>≈ 50 %</t>
        </is>
      </c>
    </row>
    <row r="19">
      <c r="A19" t="inlineStr">
        <is>
          <t>Coût jour alternant chargé</t>
        </is>
      </c>
      <c r="B19" s="8" t="n">
        <v>150</v>
      </c>
      <c r="C19" t="inlineStr"/>
    </row>
    <row r="20">
      <c r="A20" t="inlineStr">
        <is>
          <t>Jours alternant sur le projet</t>
        </is>
      </c>
      <c r="B20" s="6" t="n">
        <v>120</v>
      </c>
      <c r="C20" t="inlineStr"/>
    </row>
    <row r="21">
      <c r="A21" t="inlineStr">
        <is>
          <t>Réserve de contingence (risques)</t>
        </is>
      </c>
      <c r="B21" s="7" t="n">
        <v>0.1</v>
      </c>
      <c r="C21" t="inlineStr">
        <is>
          <t>sur invest + charges</t>
        </is>
      </c>
    </row>
    <row r="22">
      <c r="A22" t="inlineStr">
        <is>
          <t>Réserve de management</t>
        </is>
      </c>
      <c r="B22" s="7" t="n">
        <v>0.05</v>
      </c>
      <c r="C22" t="inlineStr"/>
    </row>
    <row r="23">
      <c r="A23" t="inlineStr">
        <is>
          <t>Enveloppe budgétaire (Contexte SAP p.11)</t>
        </is>
      </c>
      <c r="B23" s="8" t="n">
        <v>800000</v>
      </c>
      <c r="C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0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Lot</t>
        </is>
      </c>
      <c r="B1" s="1" t="inlineStr">
        <is>
          <t>Élément</t>
        </is>
      </c>
      <c r="C1" s="1" t="inlineStr">
        <is>
          <t>Quantité</t>
        </is>
      </c>
      <c r="D1" s="1" t="inlineStr">
        <is>
          <t>Prix unitaire HT</t>
        </is>
      </c>
      <c r="E1" s="1" t="inlineStr">
        <is>
          <t>Total HT</t>
        </is>
      </c>
      <c r="F1" s="1" t="inlineStr">
        <is>
          <t>Justification</t>
        </is>
      </c>
    </row>
    <row r="2">
      <c r="A2" t="inlineStr">
        <is>
          <t>Postes</t>
        </is>
      </c>
      <c r="B2" t="inlineStr">
        <is>
          <t>Ordinateurs portables (renouvellement 100 %)</t>
        </is>
      </c>
      <c r="C2">
        <f>ROUNDUP(Hypothèses!$B$8*Hypothèses!$B$2*(1+Hypothèses!$B$3)*(1+Hypothèses!$B$4),0)</f>
        <v/>
      </c>
      <c r="D2" s="2">
        <f>(Hypothèses!$B$5*(1-Hypothèses!$B$7)+Hypothèses!$B$6*Hypothèses!$B$7)</f>
        <v/>
      </c>
      <c r="E2" s="2">
        <f>C2*D2</f>
        <v/>
      </c>
      <c r="F2" t="inlineStr">
        <is>
          <t>450 ProBook 450 G2 de 2015 : non compatibles Windows 11, 300 HS ou à remplacer</t>
        </is>
      </c>
    </row>
    <row r="3">
      <c r="A3" t="inlineStr">
        <is>
          <t>Postes</t>
        </is>
      </c>
      <c r="B3" t="inlineStr">
        <is>
          <t>Station d'accueil USB-C + écran 24"</t>
        </is>
      </c>
      <c r="C3">
        <f>Hypothèses!$B$10</f>
        <v/>
      </c>
      <c r="D3" s="2" t="n">
        <v>300</v>
      </c>
      <c r="E3" s="2">
        <f>C3*D3</f>
        <v/>
      </c>
      <c r="F3" t="inlineStr">
        <is>
          <t>postes administratifs sédentaires</t>
        </is>
      </c>
    </row>
    <row r="4">
      <c r="A4" t="inlineStr">
        <is>
          <t>Postes</t>
        </is>
      </c>
      <c r="B4" t="inlineStr">
        <is>
          <t>Kit clavier/souris + sacoche</t>
        </is>
      </c>
      <c r="C4">
        <f>ROUNDUP(Hypothèses!$B$8*Hypothèses!$B$2*(1+Hypothèses!$B$3)*(1+Hypothèses!$B$4),0)</f>
        <v/>
      </c>
      <c r="D4" s="2" t="n">
        <v>25</v>
      </c>
      <c r="E4" s="2">
        <f>C4*D4</f>
        <v/>
      </c>
      <c r="F4" t="inlineStr">
        <is>
          <t>450 souris M185 dont 160 perdues</t>
        </is>
      </c>
    </row>
    <row r="5">
      <c r="A5" t="inlineStr">
        <is>
          <t>Mobilité</t>
        </is>
      </c>
      <c r="B5" t="inlineStr">
        <is>
          <t>Smartphones Android Enterprise (gérés Intune)</t>
        </is>
      </c>
      <c r="C5">
        <f>Hypothèses!$B$15</f>
        <v/>
      </c>
      <c r="D5" s="2">
        <f>Hypothèses!$B$16</f>
        <v/>
      </c>
      <c r="E5" s="2">
        <f>C5*D5</f>
        <v/>
      </c>
      <c r="F5" t="inlineStr">
        <is>
          <t>135 Galaxy A5 : 92 batterie faible ou écran cassé</t>
        </is>
      </c>
    </row>
    <row r="6">
      <c r="A6" t="inlineStr">
        <is>
          <t>Réseau</t>
        </is>
      </c>
      <c r="B6" t="inlineStr">
        <is>
          <t>Pare-feu Lille (FortiGate 90G, HA) + UTP 3 ans</t>
        </is>
      </c>
      <c r="C6" t="n">
        <v>2</v>
      </c>
      <c r="D6" s="2" t="n">
        <v>5500</v>
      </c>
      <c r="E6" s="2">
        <f>C6*D6</f>
        <v/>
      </c>
      <c r="F6" t="inlineStr">
        <is>
          <t>hub siège, SD-WAN, VPN distants</t>
        </is>
      </c>
    </row>
    <row r="7">
      <c r="A7" t="inlineStr">
        <is>
          <t>Réseau</t>
        </is>
      </c>
      <c r="B7" t="inlineStr">
        <is>
          <t>Pare-feu sites (FortiGate 70G, HA) + UTP 3 ans</t>
        </is>
      </c>
      <c r="C7" t="n">
        <v>8</v>
      </c>
      <c r="D7" s="2" t="n">
        <v>3500</v>
      </c>
      <c r="E7" s="2">
        <f>C7*D7</f>
        <v/>
      </c>
      <c r="F7" t="inlineStr">
        <is>
          <t>2 par site x 4 sites, remplace Check Point 3200 + ASR 900</t>
        </is>
      </c>
    </row>
    <row r="8">
      <c r="A8" t="inlineStr">
        <is>
          <t>Réseau</t>
        </is>
      </c>
      <c r="B8" t="inlineStr">
        <is>
          <t>Switchs cœur 10G (paire par site)</t>
        </is>
      </c>
      <c r="C8" t="n">
        <v>10</v>
      </c>
      <c r="D8" s="2" t="n">
        <v>3000</v>
      </c>
      <c r="E8" s="2">
        <f>C8*D8</f>
        <v/>
      </c>
      <c r="F8" t="inlineStr">
        <is>
          <t>remplace HP 5120, redondance cœur</t>
        </is>
      </c>
    </row>
    <row r="9">
      <c r="A9" t="inlineStr">
        <is>
          <t>Réseau</t>
        </is>
      </c>
      <c r="B9" t="inlineStr">
        <is>
          <t>Switchs d'accès 48 ports PoE+ (1 par étage)</t>
        </is>
      </c>
      <c r="C9" t="n">
        <v>14</v>
      </c>
      <c r="D9" s="2" t="n">
        <v>2600</v>
      </c>
      <c r="E9" s="2">
        <f>C9*D9</f>
        <v/>
      </c>
      <c r="F9" t="inlineStr">
        <is>
          <t>14 étages au total (plans des sites)</t>
        </is>
      </c>
    </row>
    <row r="10">
      <c r="A10" t="inlineStr">
        <is>
          <t>Réseau</t>
        </is>
      </c>
      <c r="B10" t="inlineStr">
        <is>
          <t>Bornes Wi-Fi 6/6E + licences 3 ans</t>
        </is>
      </c>
      <c r="C10" t="n">
        <v>76</v>
      </c>
      <c r="D10" s="2" t="n">
        <v>600</v>
      </c>
      <c r="E10" s="2">
        <f>C10*D10</f>
        <v/>
      </c>
      <c r="F10" t="inlineStr">
        <is>
          <t>≈ 1 borne / 200 m² (Lille 15, Lyon 9, Marseille 18, Paris 10, Toulouse 24)</t>
        </is>
      </c>
    </row>
    <row r="11">
      <c r="A11" t="inlineStr">
        <is>
          <t>Réseau</t>
        </is>
      </c>
      <c r="B11" t="inlineStr">
        <is>
          <t>Onduleurs 3 kVA (2 par site)</t>
        </is>
      </c>
      <c r="C11" t="n">
        <v>10</v>
      </c>
      <c r="D11" s="2" t="n">
        <v>1500</v>
      </c>
      <c r="E11" s="2">
        <f>C11*D11</f>
        <v/>
      </c>
      <c r="F11" t="inlineStr">
        <is>
          <t>autonomie baies réseau</t>
        </is>
      </c>
    </row>
    <row r="12">
      <c r="A12" t="inlineStr">
        <is>
          <t>Réseau</t>
        </is>
      </c>
      <c r="B12" t="inlineStr">
        <is>
          <t>Remise à niveau câblage Cat6A / brassage</t>
        </is>
      </c>
      <c r="C12" t="n">
        <v>5</v>
      </c>
      <c r="D12" s="2" t="n">
        <v>5000</v>
      </c>
      <c r="E12" s="2">
        <f>C12*D12</f>
        <v/>
      </c>
      <c r="F12" t="inlineStr">
        <is>
          <t>prises bornes Wi-Fi, baies d'étage</t>
        </is>
      </c>
    </row>
    <row r="13">
      <c r="A13" t="inlineStr">
        <is>
          <t>Serveurs (Lille)</t>
        </is>
      </c>
      <c r="B13" t="inlineStr">
        <is>
          <t>Serveurs 1U (2 nœuds cluster Proxmox / Hyper-V)</t>
        </is>
      </c>
      <c r="C13" t="n">
        <v>2</v>
      </c>
      <c r="D13" s="2" t="n">
        <v>9000</v>
      </c>
      <c r="E13" s="2">
        <f>C13*D13</f>
        <v/>
      </c>
      <c r="F13" t="inlineStr">
        <is>
          <t>services locaux siège : DC, impression, cache, supervision</t>
        </is>
      </c>
    </row>
    <row r="14">
      <c r="A14" t="inlineStr">
        <is>
          <t>Serveurs (Lille)</t>
        </is>
      </c>
      <c r="B14" t="inlineStr">
        <is>
          <t>NAS de sauvegarde (1er niveau, immuable)</t>
        </is>
      </c>
      <c r="C14" t="n">
        <v>1</v>
      </c>
      <c r="D14" s="2" t="n">
        <v>6000</v>
      </c>
      <c r="E14" s="2">
        <f>C14*D14</f>
        <v/>
      </c>
      <c r="F14" t="inlineStr">
        <is>
          <t>remplace LTO6 + ML110 G7</t>
        </is>
      </c>
    </row>
    <row r="15">
      <c r="A15" t="inlineStr">
        <is>
          <t>Serveurs (Lille)</t>
        </is>
      </c>
      <c r="B15" t="inlineStr">
        <is>
          <t>Licences Windows Server 2025 Standard 16 cœurs</t>
        </is>
      </c>
      <c r="C15" t="n">
        <v>2</v>
      </c>
      <c r="D15" s="2" t="n">
        <v>1200</v>
      </c>
      <c r="E15" s="2">
        <f>C15*D15</f>
        <v/>
      </c>
      <c r="F15" t="inlineStr"/>
    </row>
    <row r="16">
      <c r="A16" t="inlineStr">
        <is>
          <t>Prestations</t>
        </is>
      </c>
      <c r="B16" t="inlineStr">
        <is>
          <t>Audit Wi-Fi (site survey) 5 sites</t>
        </is>
      </c>
      <c r="C16" t="n">
        <v>5</v>
      </c>
      <c r="D16" s="2" t="n">
        <v>1000</v>
      </c>
      <c r="E16" s="2">
        <f>C16*D16</f>
        <v/>
      </c>
      <c r="F16" t="inlineStr"/>
    </row>
    <row r="17">
      <c r="A17" t="inlineStr">
        <is>
          <t>Prestations</t>
        </is>
      </c>
      <c r="B17" t="inlineStr">
        <is>
          <t>Intégration cloud HDS + migration Exchange 2010 vers M365</t>
        </is>
      </c>
      <c r="C17" t="n">
        <v>1</v>
      </c>
      <c r="D17" s="2" t="n">
        <v>20000</v>
      </c>
      <c r="E17" s="2">
        <f>C17*D17</f>
        <v/>
      </c>
      <c r="F17" t="inlineStr"/>
    </row>
    <row r="18">
      <c r="A18" t="inlineStr">
        <is>
          <t>Prestations</t>
        </is>
      </c>
      <c r="B18" t="inlineStr">
        <is>
          <t>Migration données ERP vers solution SaaS HDS</t>
        </is>
      </c>
      <c r="C18" t="n">
        <v>1</v>
      </c>
      <c r="D18" s="2" t="n">
        <v>20000</v>
      </c>
      <c r="E18" s="2">
        <f>C18*D18</f>
        <v/>
      </c>
      <c r="F18" t="inlineStr">
        <is>
          <t>reprise PostgreSQL / Debian 7</t>
        </is>
      </c>
    </row>
    <row r="19">
      <c r="A19" t="inlineStr">
        <is>
          <t>Accompagnement</t>
        </is>
      </c>
      <c r="B19" t="inlineStr">
        <is>
          <t>Formation et sensibilisation utilisateurs</t>
        </is>
      </c>
      <c r="C19" t="n">
        <v>1</v>
      </c>
      <c r="D19" s="2" t="n">
        <v>15000</v>
      </c>
      <c r="E19" s="2">
        <f>C19*D19</f>
        <v/>
      </c>
      <c r="F19" t="inlineStr">
        <is>
          <t>profils non technophiles</t>
        </is>
      </c>
    </row>
    <row r="20">
      <c r="A20" t="inlineStr">
        <is>
          <t>GreenIT</t>
        </is>
      </c>
      <c r="B20" t="inlineStr">
        <is>
          <t>Effacement certifié + recyclage DEEE (ESS) des anciens postes</t>
        </is>
      </c>
      <c r="C20" t="n">
        <v>450</v>
      </c>
      <c r="D20" s="2" t="n">
        <v>10</v>
      </c>
      <c r="E20" s="2">
        <f>C20*D20</f>
        <v/>
      </c>
      <c r="F20" t="inlineStr">
        <is>
          <t>reconditionnement par entreprise adaptée</t>
        </is>
      </c>
    </row>
    <row r="21">
      <c r="A21" s="3" t="inlineStr"/>
      <c r="B21" s="3" t="inlineStr">
        <is>
          <t>TOTAL INVESTISSEMENT</t>
        </is>
      </c>
      <c r="C21" s="3" t="inlineStr"/>
      <c r="D21" s="4" t="inlineStr"/>
      <c r="E21" s="4">
        <f>SUM(E2:E20)</f>
        <v/>
      </c>
      <c r="F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0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Poste</t>
        </is>
      </c>
      <c r="B1" s="1" t="inlineStr">
        <is>
          <t>Élément</t>
        </is>
      </c>
      <c r="C1" s="1" t="inlineStr">
        <is>
          <t>Quantité</t>
        </is>
      </c>
      <c r="D1" s="1" t="inlineStr">
        <is>
          <t>Coût mensuel HT</t>
        </is>
      </c>
      <c r="E1" s="1" t="inlineStr">
        <is>
          <t>Total annuel HT</t>
        </is>
      </c>
      <c r="F1" s="1" t="inlineStr">
        <is>
          <t>Justification</t>
        </is>
      </c>
    </row>
    <row r="2">
      <c r="A2" t="inlineStr">
        <is>
          <t>Licences</t>
        </is>
      </c>
      <c r="B2" t="inlineStr">
        <is>
          <t>Microsoft 365 E3</t>
        </is>
      </c>
      <c r="C2">
        <f>Hypothèses!$B$11</f>
        <v/>
      </c>
      <c r="D2" s="2">
        <f>Hypothèses!$B$13</f>
        <v/>
      </c>
      <c r="E2" s="2">
        <f>C2*D2*12</f>
        <v/>
      </c>
      <c r="F2" t="inlineStr">
        <is>
          <t>messagerie, Teams, SharePoint (GED), Intune ; Microsoft certifié HDS</t>
        </is>
      </c>
    </row>
    <row r="3">
      <c r="A3" t="inlineStr">
        <is>
          <t>Licences</t>
        </is>
      </c>
      <c r="B3" t="inlineStr">
        <is>
          <t>Microsoft 365 F3</t>
        </is>
      </c>
      <c r="C3">
        <f>Hypothèses!$B$12</f>
        <v/>
      </c>
      <c r="D3" s="2">
        <f>Hypothèses!$B$14</f>
        <v/>
      </c>
      <c r="E3" s="2">
        <f>C3*D3*12</f>
        <v/>
      </c>
      <c r="F3" t="inlineStr">
        <is>
          <t>profils terrain en mobilité</t>
        </is>
      </c>
    </row>
    <row r="4">
      <c r="A4" t="inlineStr">
        <is>
          <t>Cloud HDS</t>
        </is>
      </c>
      <c r="B4" t="inlineStr">
        <is>
          <t>IaaS hébergeur certifié HDS (région principale)</t>
        </is>
      </c>
      <c r="C4" t="n">
        <v>1</v>
      </c>
      <c r="D4" s="2" t="n">
        <v>2500</v>
      </c>
      <c r="E4" s="2">
        <f>C4*D4*12</f>
        <v/>
      </c>
      <c r="F4" t="inlineStr">
        <is>
          <t>AD, fichiers, GLPI, supervision, bastion</t>
        </is>
      </c>
    </row>
    <row r="5">
      <c r="A5" t="inlineStr">
        <is>
          <t>Cloud HDS</t>
        </is>
      </c>
      <c r="B5" t="inlineStr">
        <is>
          <t>Sauvegarde externalisée + réplication PRA (2e région)</t>
        </is>
      </c>
      <c r="C5" t="n">
        <v>1</v>
      </c>
      <c r="D5" s="2" t="n">
        <v>800</v>
      </c>
      <c r="E5" s="2">
        <f>C5*D5*12</f>
        <v/>
      </c>
      <c r="F5" t="inlineStr">
        <is>
          <t>règle 3-2-1, datacenter labellisé GreenIT</t>
        </is>
      </c>
    </row>
    <row r="6">
      <c r="A6" t="inlineStr">
        <is>
          <t>Cloud HDS</t>
        </is>
      </c>
      <c r="B6" t="inlineStr">
        <is>
          <t>ERP médico-social SaaS HDS (indicatif)</t>
        </is>
      </c>
      <c r="C6">
        <f>450*Hypothèses!$B$9</f>
        <v/>
      </c>
      <c r="D6" s="2" t="n">
        <v>12</v>
      </c>
      <c r="E6" s="2">
        <f>C6*D6*12</f>
        <v/>
      </c>
      <c r="F6" t="inlineStr">
        <is>
          <t>à affiner avec les éditeurs ; peut relever du budget métier</t>
        </is>
      </c>
    </row>
    <row r="7">
      <c r="A7" t="inlineStr">
        <is>
          <t>Liens</t>
        </is>
      </c>
      <c r="B7" t="inlineStr">
        <is>
          <t>Fibre dédiée FTTO 1 Gb/s par site</t>
        </is>
      </c>
      <c r="C7" t="n">
        <v>5</v>
      </c>
      <c r="D7" s="2" t="n">
        <v>500</v>
      </c>
      <c r="E7" s="2">
        <f>C7*D7*12</f>
        <v/>
      </c>
      <c r="F7" t="inlineStr">
        <is>
          <t>lien principal</t>
        </is>
      </c>
    </row>
    <row r="8">
      <c r="A8" t="inlineStr">
        <is>
          <t>Liens</t>
        </is>
      </c>
      <c r="B8" t="inlineStr">
        <is>
          <t>Lien de secours (FTTH pro ou 4G/5G)</t>
        </is>
      </c>
      <c r="C8" t="n">
        <v>5</v>
      </c>
      <c r="D8" s="2" t="n">
        <v>70</v>
      </c>
      <c r="E8" s="2">
        <f>C8*D8*12</f>
        <v/>
      </c>
      <c r="F8" t="inlineStr">
        <is>
          <t>bascule SD-WAN, dispo 99,9 %</t>
        </is>
      </c>
    </row>
    <row r="9">
      <c r="A9" t="inlineStr">
        <is>
          <t>Logiciels</t>
        </is>
      </c>
      <c r="B9" t="inlineStr">
        <is>
          <t>Sauvegarde (Veeam ou équivalent)</t>
        </is>
      </c>
      <c r="C9" t="n">
        <v>1</v>
      </c>
      <c r="D9" s="2" t="n">
        <v>250</v>
      </c>
      <c r="E9" s="2">
        <f>C9*D9*12</f>
        <v/>
      </c>
      <c r="F9" t="inlineStr"/>
    </row>
    <row r="10">
      <c r="A10" t="inlineStr">
        <is>
          <t>Logiciels</t>
        </is>
      </c>
      <c r="B10" t="inlineStr">
        <is>
          <t>Support Proxmox / maintenance serveurs</t>
        </is>
      </c>
      <c r="C10" t="n">
        <v>1</v>
      </c>
      <c r="D10" s="2" t="n">
        <v>150</v>
      </c>
      <c r="E10" s="2">
        <f>C10*D10*12</f>
        <v/>
      </c>
      <c r="F10" t="inlineStr"/>
    </row>
    <row r="11">
      <c r="A11" s="3" t="inlineStr"/>
      <c r="B11" s="3" t="inlineStr">
        <is>
          <t>TOTAL CHARGES ANNUELLES</t>
        </is>
      </c>
      <c r="C11" s="3" t="inlineStr"/>
      <c r="D11" s="4" t="inlineStr"/>
      <c r="E11" s="4">
        <f>SUM(E2:E10)</f>
        <v/>
      </c>
      <c r="F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2026-10-16T09:47:23Z</dcterms:created>
  <dcterms:modified xmlns:dcterms="http://purl.org/dc/terms/" xmlns:xsi="http://www.w3.org/2001/XMLSchema-instance" xsi:type="dcterms:W3CDTF">2026-10-16T09:47:23Z</dcterms:modified>
</cp:coreProperties>
</file>