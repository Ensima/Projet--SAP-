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6" customWidth="1" min="2" max="2"/>
    <col width="10" customWidth="1" min="3" max="3"/>
    <col width="17" customWidth="1" min="4" max="4"/>
    <col width="17" customWidth="1" min="5" max="5"/>
    <col width="17" customWidth="1" min="6" max="6"/>
    <col width="60" customWidth="1" min="7" max="7"/>
  </cols>
  <sheetData>
    <row r="1">
      <c r="A1" s="1" t="inlineStr">
        <is>
          <t>Catégorie</t>
        </is>
      </c>
      <c r="B1" s="1" t="inlineStr">
        <is>
          <t>Poste de coût</t>
        </is>
      </c>
      <c r="C1" s="1" t="inlineStr">
        <is>
          <t>Type</t>
        </is>
      </c>
      <c r="D1" s="1" t="inlineStr">
        <is>
          <t>A. Tout sur site</t>
        </is>
      </c>
      <c r="E1" s="1" t="inlineStr">
        <is>
          <t>B. Hybride</t>
        </is>
      </c>
      <c r="F1" s="1" t="inlineStr">
        <is>
          <t>C. Tout cloud</t>
        </is>
      </c>
      <c r="G1" s="1" t="inlineStr">
        <is>
          <t>Hypothèse</t>
        </is>
      </c>
    </row>
    <row r="2">
      <c r="A2" s="2" t="inlineStr">
        <is>
          <t>Commun</t>
        </is>
      </c>
      <c r="B2" s="2" t="inlineStr">
        <is>
          <t>Postes portables + docks + accessoires</t>
        </is>
      </c>
      <c r="C2" s="2" t="inlineStr">
        <is>
          <t>CAPEX</t>
        </is>
      </c>
      <c r="D2" s="3" t="n">
        <v>422425</v>
      </c>
      <c r="E2" s="3" t="n">
        <v>422425</v>
      </c>
      <c r="F2" s="3" t="n">
        <v>422425</v>
      </c>
      <c r="G2" s="2" t="inlineStr">
        <is>
          <t>identique dans les 3 options (cf. budget_partie1.xlsx)</t>
        </is>
      </c>
    </row>
    <row r="3">
      <c r="A3" s="2" t="inlineStr">
        <is>
          <t>Commun</t>
        </is>
      </c>
      <c r="B3" s="2" t="inlineStr">
        <is>
          <t>Smartphones gérés</t>
        </is>
      </c>
      <c r="C3" s="2" t="inlineStr">
        <is>
          <t>CAPEX</t>
        </is>
      </c>
      <c r="D3" s="3" t="n">
        <v>42000</v>
      </c>
      <c r="E3" s="3" t="n">
        <v>42000</v>
      </c>
      <c r="F3" s="3" t="n">
        <v>42000</v>
      </c>
      <c r="G3" s="2" t="inlineStr"/>
    </row>
    <row r="4">
      <c r="A4" s="2" t="inlineStr">
        <is>
          <t>Commun</t>
        </is>
      </c>
      <c r="B4" s="2" t="inlineStr">
        <is>
          <t>LAN + Wi-Fi + onduleurs + câblage des 5 sites</t>
        </is>
      </c>
      <c r="C4" s="2" t="inlineStr">
        <is>
          <t>CAPEX</t>
        </is>
      </c>
      <c r="D4" s="3" t="n">
        <v>152000</v>
      </c>
      <c r="E4" s="3" t="n">
        <v>152000</v>
      </c>
      <c r="F4" s="3" t="n">
        <v>152000</v>
      </c>
      <c r="G4" s="2" t="inlineStr">
        <is>
          <t>cœur, accès PoE+, 76 bornes</t>
        </is>
      </c>
    </row>
    <row r="5">
      <c r="A5" s="2" t="inlineStr">
        <is>
          <t>Commun</t>
        </is>
      </c>
      <c r="B5" s="2" t="inlineStr">
        <is>
          <t>Pare-feu HA des 5 sites</t>
        </is>
      </c>
      <c r="C5" s="2" t="inlineStr">
        <is>
          <t>CAPEX</t>
        </is>
      </c>
      <c r="D5" s="3" t="n">
        <v>39000</v>
      </c>
      <c r="E5" s="3" t="n">
        <v>39000</v>
      </c>
      <c r="F5" s="3" t="n">
        <v>39000</v>
      </c>
      <c r="G5" s="2" t="inlineStr"/>
    </row>
    <row r="6">
      <c r="A6" s="2" t="inlineStr">
        <is>
          <t>Commun</t>
        </is>
      </c>
      <c r="B6" s="2" t="inlineStr">
        <is>
          <t>Audit Wi-Fi, formation, recyclage DEEE</t>
        </is>
      </c>
      <c r="C6" s="2" t="inlineStr">
        <is>
          <t>CAPEX</t>
        </is>
      </c>
      <c r="D6" s="3" t="n">
        <v>24500</v>
      </c>
      <c r="E6" s="3" t="n">
        <v>24500</v>
      </c>
      <c r="F6" s="3" t="n">
        <v>24500</v>
      </c>
      <c r="G6" s="2" t="inlineStr"/>
    </row>
    <row r="7">
      <c r="A7" t="inlineStr">
        <is>
          <t>Serveurs</t>
        </is>
      </c>
      <c r="B7" t="inlineStr">
        <is>
          <t>Hyperviseurs (A : 4 Lille + 3 Paris ; B : 2 Lille ; C : aucun)</t>
        </is>
      </c>
      <c r="C7" t="inlineStr">
        <is>
          <t>CAPEX</t>
        </is>
      </c>
      <c r="D7" s="4" t="n">
        <v>84000</v>
      </c>
      <c r="E7" s="4" t="n">
        <v>18000</v>
      </c>
      <c r="F7" s="4" t="n">
        <v>0</v>
      </c>
      <c r="G7" t="inlineStr">
        <is>
          <t>12 k€ par serveur en A, 9 k€ en B</t>
        </is>
      </c>
    </row>
    <row r="8">
      <c r="A8" t="inlineStr">
        <is>
          <t>Serveurs</t>
        </is>
      </c>
      <c r="B8" t="inlineStr">
        <is>
          <t>Stockage SAN (une baie par datacenter) / NAS</t>
        </is>
      </c>
      <c r="C8" t="inlineStr">
        <is>
          <t>CAPEX</t>
        </is>
      </c>
      <c r="D8" s="4" t="n">
        <v>70000</v>
      </c>
      <c r="E8" s="4" t="n">
        <v>6000</v>
      </c>
      <c r="F8" s="4" t="n">
        <v>0</v>
      </c>
      <c r="G8" t="inlineStr">
        <is>
          <t>A : 2 x 35 k€</t>
        </is>
      </c>
    </row>
    <row r="9">
      <c r="A9" t="inlineStr">
        <is>
          <t>Serveurs</t>
        </is>
      </c>
      <c r="B9" t="inlineStr">
        <is>
          <t>Switchs datacenter 25G</t>
        </is>
      </c>
      <c r="C9" t="inlineStr">
        <is>
          <t>CAPEX</t>
        </is>
      </c>
      <c r="D9" s="4" t="n">
        <v>24000</v>
      </c>
      <c r="E9" s="4" t="n">
        <v>0</v>
      </c>
      <c r="F9" s="4" t="n">
        <v>0</v>
      </c>
      <c r="G9" t="inlineStr">
        <is>
          <t>A : 2 par salle</t>
        </is>
      </c>
    </row>
    <row r="10">
      <c r="A10" t="inlineStr">
        <is>
          <t>Serveurs</t>
        </is>
      </c>
      <c r="B10" t="inlineStr">
        <is>
          <t>Aménagement salles (clim redondante, onduleur 10 kVA, incendie, accès)</t>
        </is>
      </c>
      <c r="C10" t="inlineStr">
        <is>
          <t>CAPEX</t>
        </is>
      </c>
      <c r="D10" s="4" t="n">
        <v>50000</v>
      </c>
      <c r="E10" s="4" t="n">
        <v>0</v>
      </c>
      <c r="F10" s="4" t="n">
        <v>0</v>
      </c>
      <c r="G10" t="inlineStr">
        <is>
          <t>A : 2 salles x 25 k€</t>
        </is>
      </c>
    </row>
    <row r="11">
      <c r="A11" t="inlineStr">
        <is>
          <t>Licences</t>
        </is>
      </c>
      <c r="B11" t="inlineStr">
        <is>
          <t>Windows Server (Datacenter en A, Standard en B) + CAL</t>
        </is>
      </c>
      <c r="C11" t="inlineStr">
        <is>
          <t>CAPEX</t>
        </is>
      </c>
      <c r="D11" s="4" t="n">
        <v>67500</v>
      </c>
      <c r="E11" s="4" t="n">
        <v>2400</v>
      </c>
      <c r="F11" s="4" t="n">
        <v>0</v>
      </c>
      <c r="G11" t="inlineStr">
        <is>
          <t>A : 7 hôtes x 6,5 k€ + 487 CAL</t>
        </is>
      </c>
    </row>
    <row r="12">
      <c r="A12" t="inlineStr">
        <is>
          <t>Licences</t>
        </is>
      </c>
      <c r="B12" t="inlineStr">
        <is>
          <t>Office LTSC 2024 (achat perpétuel)</t>
        </is>
      </c>
      <c r="C12" t="inlineStr">
        <is>
          <t>CAPEX</t>
        </is>
      </c>
      <c r="D12" s="4" t="n">
        <v>219150</v>
      </c>
      <c r="E12" s="4" t="n">
        <v>0</v>
      </c>
      <c r="F12" s="4" t="n">
        <v>0</v>
      </c>
      <c r="G12" t="inlineStr">
        <is>
          <t>A seulement : 487 x 450 €</t>
        </is>
      </c>
    </row>
    <row r="13">
      <c r="A13" t="inlineStr">
        <is>
          <t>Licences</t>
        </is>
      </c>
      <c r="B13" t="inlineStr">
        <is>
          <t>Exchange Server SE + CAL</t>
        </is>
      </c>
      <c r="C13" t="inlineStr">
        <is>
          <t>CAPEX</t>
        </is>
      </c>
      <c r="D13" s="4" t="n">
        <v>37000</v>
      </c>
      <c r="E13" s="4" t="n">
        <v>0</v>
      </c>
      <c r="F13" s="4" t="n">
        <v>0</v>
      </c>
      <c r="G13" t="inlineStr">
        <is>
          <t>A seulement</t>
        </is>
      </c>
    </row>
    <row r="14">
      <c r="A14" t="inlineStr">
        <is>
          <t>Applicatif</t>
        </is>
      </c>
      <c r="B14" t="inlineStr">
        <is>
          <t>ERP médico-social : licence sur site / mise en service SaaS</t>
        </is>
      </c>
      <c r="C14" t="inlineStr">
        <is>
          <t>CAPEX</t>
        </is>
      </c>
      <c r="D14" s="4" t="n">
        <v>60000</v>
      </c>
      <c r="E14" s="4" t="n">
        <v>0</v>
      </c>
      <c r="F14" s="4" t="n">
        <v>0</v>
      </c>
      <c r="G14" t="inlineStr">
        <is>
          <t>A : licence éditeur</t>
        </is>
      </c>
    </row>
    <row r="15">
      <c r="A15" t="inlineStr">
        <is>
          <t>Prestations</t>
        </is>
      </c>
      <c r="B15" t="inlineStr">
        <is>
          <t>Intégration, migrations (Exchange, ERP, cloud)</t>
        </is>
      </c>
      <c r="C15" t="inlineStr">
        <is>
          <t>CAPEX</t>
        </is>
      </c>
      <c r="D15" s="4" t="n">
        <v>60000</v>
      </c>
      <c r="E15" s="4" t="n">
        <v>40000</v>
      </c>
      <c r="F15" s="4" t="n">
        <v>45000</v>
      </c>
      <c r="G15" t="inlineStr"/>
    </row>
    <row r="16">
      <c r="A16" t="inlineStr">
        <is>
          <t>Licences</t>
        </is>
      </c>
      <c r="B16" t="inlineStr">
        <is>
          <t>Microsoft 365 (150 E3 + 300 F3)</t>
        </is>
      </c>
      <c r="C16" t="inlineStr">
        <is>
          <t>OPEX/an</t>
        </is>
      </c>
      <c r="D16" s="4" t="n">
        <v>0</v>
      </c>
      <c r="E16" s="4" t="n">
        <v>93600</v>
      </c>
      <c r="F16" s="4" t="n">
        <v>93600</v>
      </c>
      <c r="G16" t="inlineStr">
        <is>
          <t>A : remplacé par LTSC + Exchange</t>
        </is>
      </c>
    </row>
    <row r="17">
      <c r="A17" t="inlineStr">
        <is>
          <t>Applicatif</t>
        </is>
      </c>
      <c r="B17" t="inlineStr">
        <is>
          <t>ERP : maintenance éditeur (A) / abonnement SaaS HDS (B, C)</t>
        </is>
      </c>
      <c r="C17" t="inlineStr">
        <is>
          <t>OPEX/an</t>
        </is>
      </c>
      <c r="D17" s="4" t="n">
        <v>12000</v>
      </c>
      <c r="E17" s="4" t="n">
        <v>64800</v>
      </c>
      <c r="F17" s="4" t="n">
        <v>64800</v>
      </c>
      <c r="G17" t="inlineStr">
        <is>
          <t>A : 20 % de la licence</t>
        </is>
      </c>
    </row>
    <row r="18">
      <c r="A18" t="inlineStr">
        <is>
          <t>Hébergement</t>
        </is>
      </c>
      <c r="B18" t="inlineStr">
        <is>
          <t>IaaS certifié HDS</t>
        </is>
      </c>
      <c r="C18" t="inlineStr">
        <is>
          <t>OPEX/an</t>
        </is>
      </c>
      <c r="D18" s="4" t="n">
        <v>0</v>
      </c>
      <c r="E18" s="4" t="n">
        <v>30000</v>
      </c>
      <c r="F18" s="4" t="n">
        <v>36000</v>
      </c>
      <c r="G18" t="inlineStr">
        <is>
          <t>C : reprend aussi les services locaux du siège</t>
        </is>
      </c>
    </row>
    <row r="19">
      <c r="A19" t="inlineStr">
        <is>
          <t>Hébergement</t>
        </is>
      </c>
      <c r="B19" t="inlineStr">
        <is>
          <t>Sauvegarde externalisée HDS + PRA</t>
        </is>
      </c>
      <c r="C19" t="inlineStr">
        <is>
          <t>OPEX/an</t>
        </is>
      </c>
      <c r="D19" s="4" t="n">
        <v>3600</v>
      </c>
      <c r="E19" s="4" t="n">
        <v>9600</v>
      </c>
      <c r="F19" s="4" t="n">
        <v>9600</v>
      </c>
      <c r="G19" t="inlineStr">
        <is>
          <t>A : seulement une copie hors site</t>
        </is>
      </c>
    </row>
    <row r="20">
      <c r="A20" t="inlineStr">
        <is>
          <t>Réseau</t>
        </is>
      </c>
      <c r="B20" t="inlineStr">
        <is>
          <t>Liens opérateurs</t>
        </is>
      </c>
      <c r="C20" t="inlineStr">
        <is>
          <t>OPEX/an</t>
        </is>
      </c>
      <c r="D20" s="4" t="n">
        <v>46200</v>
      </c>
      <c r="E20" s="4" t="n">
        <v>34200</v>
      </c>
      <c r="F20" s="4" t="n">
        <v>60000</v>
      </c>
      <c r="G20" t="inlineStr">
        <is>
          <t>A : + 10 Gb vers les 2 datacenters ; C : double fibre par site</t>
        </is>
      </c>
    </row>
    <row r="21">
      <c r="A21" t="inlineStr">
        <is>
          <t>Exploitation</t>
        </is>
      </c>
      <c r="B21" t="inlineStr">
        <is>
          <t>Électricité salles serveurs (PUE 1,6, 0,20 €/kWh)</t>
        </is>
      </c>
      <c r="C21" t="inlineStr">
        <is>
          <t>OPEX/an</t>
        </is>
      </c>
      <c r="D21" s="4" t="n">
        <v>22400</v>
      </c>
      <c r="E21" s="4" t="n">
        <v>1700</v>
      </c>
      <c r="F21" s="4" t="n">
        <v>0</v>
      </c>
      <c r="G21" t="inlineStr">
        <is>
          <t>A : ≈ 8 kW IT ; B : 0,6 kW</t>
        </is>
      </c>
    </row>
    <row r="22">
      <c r="A22" t="inlineStr">
        <is>
          <t>Exploitation</t>
        </is>
      </c>
      <c r="B22" t="inlineStr">
        <is>
          <t>Maintenance matériel, support logiciels (Veeam, hyperviseur)</t>
        </is>
      </c>
      <c r="C22" t="inlineStr">
        <is>
          <t>OPEX/an</t>
        </is>
      </c>
      <c r="D22" s="4" t="n">
        <v>15000</v>
      </c>
      <c r="E22" s="4" t="n">
        <v>4800</v>
      </c>
      <c r="F22" s="4" t="n">
        <v>1500</v>
      </c>
      <c r="G22" t="inlineStr"/>
    </row>
    <row r="23">
      <c r="A23" t="inlineStr">
        <is>
          <t>Exploitation</t>
        </is>
      </c>
      <c r="B23" t="inlineStr">
        <is>
          <t>Impression cloud (Universal Print ou équivalent)</t>
        </is>
      </c>
      <c r="C23" t="inlineStr">
        <is>
          <t>OPEX/an</t>
        </is>
      </c>
      <c r="D23" s="4" t="n">
        <v>0</v>
      </c>
      <c r="E23" s="4" t="n">
        <v>0</v>
      </c>
      <c r="F23" s="4" t="n">
        <v>11700</v>
      </c>
      <c r="G23" t="inlineStr">
        <is>
          <t>C : plus de serveur d'impression</t>
        </is>
      </c>
    </row>
    <row r="24">
      <c r="A24" t="inlineStr">
        <is>
          <t>Conformité</t>
        </is>
      </c>
      <c r="B24" t="inlineStr">
        <is>
          <t>Audits sécurité / conformité du datacenter interne</t>
        </is>
      </c>
      <c r="C24" t="inlineStr">
        <is>
          <t>OPEX/an</t>
        </is>
      </c>
      <c r="D24" s="4" t="n">
        <v>15000</v>
      </c>
      <c r="E24" s="4" t="n">
        <v>0</v>
      </c>
      <c r="F24" s="4" t="n">
        <v>0</v>
      </c>
      <c r="G24" t="inlineStr">
        <is>
          <t>A : SAP porte seule l'équivalent HDS</t>
        </is>
      </c>
    </row>
    <row r="25">
      <c r="A25" t="inlineStr">
        <is>
          <t>Humain</t>
        </is>
      </c>
      <c r="B25" t="inlineStr">
        <is>
          <t>Astreinte 24/7 + 1 ETP d'exploitation supplémentaire</t>
        </is>
      </c>
      <c r="C25" t="inlineStr">
        <is>
          <t>OPEX/an</t>
        </is>
      </c>
      <c r="D25" s="4" t="n">
        <v>55000</v>
      </c>
      <c r="E25" s="4" t="n">
        <v>0</v>
      </c>
      <c r="F25" s="4" t="n">
        <v>0</v>
      </c>
      <c r="G25" t="inlineStr">
        <is>
          <t>A : 2 personnes ne tiennent pas 99,9 % sur 2 datacenters</t>
        </is>
      </c>
    </row>
    <row r="26">
      <c r="A26" t="inlineStr">
        <is>
          <t>Humain</t>
        </is>
      </c>
      <c r="B26" t="inlineStr">
        <is>
          <t>Coûts internes du projet (RSI + alternant, 8 mois)</t>
        </is>
      </c>
      <c r="C26" t="inlineStr">
        <is>
          <t>Projet</t>
        </is>
      </c>
      <c r="D26" s="4" t="n">
        <v>81000</v>
      </c>
      <c r="E26" s="4" t="n">
        <v>54000</v>
      </c>
      <c r="F26" s="4" t="n">
        <v>48600</v>
      </c>
      <c r="G26" t="inlineStr">
        <is>
          <t>A : +50 % de charge ; C : -10 %</t>
        </is>
      </c>
    </row>
    <row r="27">
      <c r="A27" s="5" t="inlineStr"/>
      <c r="B27" s="5" t="inlineStr">
        <is>
          <t>Investissement (CAPEX)</t>
        </is>
      </c>
      <c r="C27" s="5" t="inlineStr"/>
      <c r="D27" s="6">
        <f>SUMIF($C$2:$C$26,"CAPEX",D2:D26)</f>
        <v/>
      </c>
      <c r="E27" s="6">
        <f>SUMIF($C$2:$C$26,"CAPEX",E2:E26)</f>
        <v/>
      </c>
      <c r="F27" s="6">
        <f>SUMIF($C$2:$C$26,"CAPEX",F2:F26)</f>
        <v/>
      </c>
      <c r="G27" s="5" t="inlineStr"/>
    </row>
    <row r="28">
      <c r="A28" s="5" t="inlineStr"/>
      <c r="B28" s="5" t="inlineStr">
        <is>
          <t>Charges annuelles (OPEX)</t>
        </is>
      </c>
      <c r="C28" s="5" t="inlineStr"/>
      <c r="D28" s="6">
        <f>SUMIF($C$2:$C$26,"OPEX/an",D2:D26)</f>
        <v/>
      </c>
      <c r="E28" s="6">
        <f>SUMIF($C$2:$C$26,"OPEX/an",E2:E26)</f>
        <v/>
      </c>
      <c r="F28" s="6">
        <f>SUMIF($C$2:$C$26,"OPEX/an",F2:F26)</f>
        <v/>
      </c>
      <c r="G28" s="5" t="inlineStr"/>
    </row>
    <row r="29">
      <c r="A29" s="5" t="inlineStr"/>
      <c r="B29" s="5" t="inlineStr">
        <is>
          <t>Coûts internes projet</t>
        </is>
      </c>
      <c r="C29" s="5" t="inlineStr"/>
      <c r="D29" s="6">
        <f>SUMIF($C$2:$C$26,"Projet",D2:D26)</f>
        <v/>
      </c>
      <c r="E29" s="6">
        <f>SUMIF($C$2:$C$26,"Projet",E2:E26)</f>
        <v/>
      </c>
      <c r="F29" s="6">
        <f>SUMIF($C$2:$C$26,"Projet",F2:F26)</f>
        <v/>
      </c>
      <c r="G29" s="5" t="inlineStr"/>
    </row>
    <row r="30">
      <c r="A30" s="5" t="inlineStr"/>
      <c r="B30" s="5" t="inlineStr">
        <is>
          <t>Budget projet (CAPEX + OPEX an 1 + interne)</t>
        </is>
      </c>
      <c r="C30" s="5" t="inlineStr"/>
      <c r="D30" s="6">
        <f>D27+D28+D29</f>
        <v/>
      </c>
      <c r="E30" s="6">
        <f>E27+E28+E29</f>
        <v/>
      </c>
      <c r="F30" s="6">
        <f>F27+F28+F29</f>
        <v/>
      </c>
      <c r="G30" s="5" t="inlineStr">
        <is>
          <t>hors réserves</t>
        </is>
      </c>
    </row>
    <row r="31">
      <c r="A31" s="5" t="inlineStr"/>
      <c r="B31" s="5" t="inlineStr">
        <is>
          <t>Coût total sur 5 ans (CAPEX + 5 x OPEX + interne)</t>
        </is>
      </c>
      <c r="C31" s="5" t="inlineStr"/>
      <c r="D31" s="6">
        <f>D27+5*D28+D29</f>
        <v/>
      </c>
      <c r="E31" s="6">
        <f>E27+5*E28+E29</f>
        <v/>
      </c>
      <c r="F31" s="6">
        <f>F27+5*F28+F29</f>
        <v/>
      </c>
      <c r="G31" s="5" t="inlineStr">
        <is>
          <t>objectif « exploiter 5 ans minimum »</t>
        </is>
      </c>
    </row>
    <row r="32">
      <c r="A32" s="5" t="inlineStr"/>
      <c r="B32" s="5" t="inlineStr">
        <is>
          <t>Coût moyen par salarié et par an (sur 5 ans, 450 salariés)</t>
        </is>
      </c>
      <c r="C32" s="5" t="inlineStr"/>
      <c r="D32" s="6">
        <f>D31/5/450</f>
        <v/>
      </c>
      <c r="E32" s="6">
        <f>E31/5/450</f>
        <v/>
      </c>
      <c r="F32" s="6">
        <f>F31/5/450</f>
        <v/>
      </c>
      <c r="G3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2026-10-16T11:23:37Z</dcterms:created>
  <dcterms:modified xmlns:dcterms="http://purl.org/dc/terms/" xmlns:xsi="http://www.w3.org/2001/XMLSchema-instance" xsi:type="dcterms:W3CDTF">2026-10-16T11:23:37Z</dcterms:modified>
</cp:coreProperties>
</file>